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venkataraman/Documents/green-crab-metabolomics/supplementary-material/"/>
    </mc:Choice>
  </mc:AlternateContent>
  <xr:revisionPtr revIDLastSave="0" documentId="13_ncr:1_{7BD1BDDE-3792-664E-B4E3-04144376679D}" xr6:coauthVersionLast="47" xr6:coauthVersionMax="47" xr10:uidLastSave="{00000000-0000-0000-0000-000000000000}"/>
  <bookViews>
    <workbookView xWindow="0" yWindow="600" windowWidth="28800" windowHeight="16100" xr2:uid="{69B08B4A-7FBE-344C-8B12-05655117E293}"/>
  </bookViews>
  <sheets>
    <sheet name="table-of-contents" sheetId="1" r:id="rId1"/>
    <sheet name="13v30-day22_metaboanalyst-resul" sheetId="7" r:id="rId2"/>
    <sheet name="13v5-day22_metaboanalyst-result" sheetId="8" r:id="rId3"/>
    <sheet name="5-day4v22_metaboanalyst-results" sheetId="9" r:id="rId4"/>
    <sheet name="30v5-day4_metaboanalyst-results" sheetId="10" r:id="rId5"/>
    <sheet name="unique-30v5-day22_metaboanalyst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1" l="1"/>
  <c r="F1" i="10"/>
  <c r="F1" i="9"/>
  <c r="F1" i="8"/>
  <c r="F1" i="7"/>
</calcChain>
</file>

<file path=xl/sharedStrings.xml><?xml version="1.0" encoding="utf-8"?>
<sst xmlns="http://schemas.openxmlformats.org/spreadsheetml/2006/main" count="126" uniqueCount="57">
  <si>
    <t>tab-name</t>
  </si>
  <si>
    <t>description</t>
  </si>
  <si>
    <t>13v30-day22_metaboanalyst-results</t>
  </si>
  <si>
    <t>13v5-day22_metaboanalyst-results</t>
  </si>
  <si>
    <t>unique-30v5-day22_metaboanalyst-results</t>
  </si>
  <si>
    <t>Total</t>
  </si>
  <si>
    <t>Expected</t>
  </si>
  <si>
    <t>Hits</t>
  </si>
  <si>
    <t>Raw p</t>
  </si>
  <si>
    <t>Holm adjust</t>
  </si>
  <si>
    <t>FDR</t>
  </si>
  <si>
    <t>Impact</t>
  </si>
  <si>
    <t>Valine, leucine and isoleucine biosynthesis</t>
  </si>
  <si>
    <t>5.1838e-06</t>
  </si>
  <si>
    <t>Glyoxylate and dicarboxylate metabolism</t>
  </si>
  <si>
    <t>Glutathione metabolism</t>
  </si>
  <si>
    <t>Valine, leucine and isoleucine degradation</t>
  </si>
  <si>
    <t>Nitrogen metabolism</t>
  </si>
  <si>
    <t>Arginine and proline metabolism</t>
  </si>
  <si>
    <t>Glycine, serine and threonine metabolism</t>
  </si>
  <si>
    <t>Purine metabolism</t>
  </si>
  <si>
    <t>Phenylalanine metabolism</t>
  </si>
  <si>
    <t>Ascorbate and aldarate metabolism</t>
  </si>
  <si>
    <t>Arginine biosynthesis</t>
  </si>
  <si>
    <t>Ubiquinone and other terpenoid-quinone biosynthesis</t>
  </si>
  <si>
    <t>Pantothenate and CoA biosynthesis</t>
  </si>
  <si>
    <t>Citrate cycle (TCA cycle)</t>
  </si>
  <si>
    <t>Pyruvate metabolism</t>
  </si>
  <si>
    <t>Alanine, aspartate and glutamate metabolism</t>
  </si>
  <si>
    <t>Porphyrin metabolism</t>
  </si>
  <si>
    <t>Lipoic acid metabolism</t>
  </si>
  <si>
    <t>Sphingolipid metabolism</t>
  </si>
  <si>
    <t>Inositol phosphate metabolism</t>
  </si>
  <si>
    <t>Tryptophan metabolism</t>
  </si>
  <si>
    <t>Glycerophospholipid metabolism</t>
  </si>
  <si>
    <t>Cysteine and methionine metabolism</t>
  </si>
  <si>
    <t>Amino sugar and nucleotide sugar metabolism</t>
  </si>
  <si>
    <t>Pyrimidine metabolism</t>
  </si>
  <si>
    <t>30v5-day4_metaboanalyst-results</t>
  </si>
  <si>
    <t>5-day4v22_metaboanalyst-results</t>
  </si>
  <si>
    <t>beta-Alanine metabolism</t>
  </si>
  <si>
    <t>Nicotinate and nicotinamide metabolism</t>
  </si>
  <si>
    <t>Butanoate metabolism</t>
  </si>
  <si>
    <t>Pentose and glucuronate interconversions</t>
  </si>
  <si>
    <t>Propanoate metabolism</t>
  </si>
  <si>
    <t>Lysine degradation</t>
  </si>
  <si>
    <t>Tyrosine metabolism</t>
  </si>
  <si>
    <t>Phenylalanine, tyrosine and tryptophan biosynthesis</t>
  </si>
  <si>
    <t>Taurine and hypotaurine metabolism</t>
  </si>
  <si>
    <t>Starch and sucrose metabolism</t>
  </si>
  <si>
    <t>Galactose metabolism</t>
  </si>
  <si>
    <t>Glycolysis / Gluconeogenesis</t>
  </si>
  <si>
    <t>Pathway enrichment results from MetaboAnalyst for significant VIP for the  30ºC vs. 5ºC at day 22 contrats. Enrichment was performed on VIP unique to this comparison only</t>
  </si>
  <si>
    <t>Pathway enrichment results from MetaboAnalyst for significant VIP from the 13ºC vs. 30ºC at day 22 contrast</t>
  </si>
  <si>
    <t>Pathway enrichment results from MetaboAnalyst for significant VIP from the 13ºC vs. 5ºC at day 22 contrast</t>
  </si>
  <si>
    <t>Pathway enrichment results from MetaboAnalyst for significant VIP from the day 4 vs day 22 at 5ºC contrast</t>
  </si>
  <si>
    <t>Pathway enrichment results from MetaboAnalyst for significant VIP from the 30ºC vs. 5ºC at day 4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</si>
</sst>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7C9C-BB4D-6440-9549-C46AEFEEEA79}">
  <dimension ref="A1:B6"/>
  <sheetViews>
    <sheetView tabSelected="1" workbookViewId="0">
      <selection activeCell="L17" sqref="L17"/>
    </sheetView>
  </sheetViews>
  <sheetFormatPr baseColWidth="10" defaultRowHeight="16" x14ac:dyDescent="0.2"/>
  <cols>
    <col min="1" max="1" width="3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53</v>
      </c>
    </row>
    <row r="3" spans="1:2" x14ac:dyDescent="0.2">
      <c r="A3" t="s">
        <v>3</v>
      </c>
      <c r="B3" t="s">
        <v>54</v>
      </c>
    </row>
    <row r="4" spans="1:2" x14ac:dyDescent="0.2">
      <c r="A4" t="s">
        <v>39</v>
      </c>
      <c r="B4" t="s">
        <v>55</v>
      </c>
    </row>
    <row r="5" spans="1:2" x14ac:dyDescent="0.2">
      <c r="A5" t="s">
        <v>38</v>
      </c>
      <c r="B5" t="s">
        <v>56</v>
      </c>
    </row>
    <row r="6" spans="1:2" x14ac:dyDescent="0.2">
      <c r="A6" t="s">
        <v>4</v>
      </c>
      <c r="B6" t="s">
        <v>52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9328-5D00-8F45-B034-8ACF365DA4A6}">
  <dimension ref="A1:I26"/>
  <sheetViews>
    <sheetView workbookViewId="0">
      <selection activeCell="H30" sqref="H30"/>
    </sheetView>
  </sheetViews>
  <sheetFormatPr baseColWidth="10" defaultRowHeight="16" x14ac:dyDescent="0.2"/>
  <sheetData>
    <row r="1" spans="1:9" x14ac:dyDescent="0.2">
      <c r="B1" t="s">
        <v>5</v>
      </c>
      <c r="C1" t="s">
        <v>6</v>
      </c>
      <c r="D1" t="s">
        <v>7</v>
      </c>
      <c r="E1" t="s">
        <v>8</v>
      </c>
      <c r="F1" t="e">
        <f>-LOG10(p)</f>
        <v>#NAME?</v>
      </c>
      <c r="G1" t="s">
        <v>9</v>
      </c>
      <c r="H1" t="s">
        <v>10</v>
      </c>
      <c r="I1" t="s">
        <v>11</v>
      </c>
    </row>
    <row r="2" spans="1:9" x14ac:dyDescent="0.2">
      <c r="A2" t="s">
        <v>12</v>
      </c>
      <c r="B2">
        <v>8</v>
      </c>
      <c r="C2">
        <v>0.14504</v>
      </c>
      <c r="D2">
        <v>4</v>
      </c>
      <c r="E2" s="1" t="s">
        <v>13</v>
      </c>
      <c r="F2">
        <v>5.2854000000000001</v>
      </c>
      <c r="G2">
        <v>3.9915000000000003E-4</v>
      </c>
      <c r="H2">
        <v>3.9915000000000003E-4</v>
      </c>
      <c r="I2">
        <v>0</v>
      </c>
    </row>
    <row r="3" spans="1:9" x14ac:dyDescent="0.2">
      <c r="A3" t="s">
        <v>14</v>
      </c>
      <c r="B3">
        <v>24</v>
      </c>
      <c r="C3">
        <v>0.43511</v>
      </c>
      <c r="D3">
        <v>3</v>
      </c>
      <c r="E3">
        <v>8.0453999999999994E-3</v>
      </c>
      <c r="F3">
        <v>2.0945</v>
      </c>
      <c r="G3">
        <v>0.61145000000000005</v>
      </c>
      <c r="H3">
        <v>0.25921</v>
      </c>
      <c r="I3">
        <v>0.125</v>
      </c>
    </row>
    <row r="4" spans="1:9" x14ac:dyDescent="0.2">
      <c r="A4" t="s">
        <v>15</v>
      </c>
      <c r="B4">
        <v>26</v>
      </c>
      <c r="C4">
        <v>0.47137000000000001</v>
      </c>
      <c r="D4">
        <v>3</v>
      </c>
      <c r="E4">
        <v>1.0099E-2</v>
      </c>
      <c r="F4">
        <v>1.9957</v>
      </c>
      <c r="G4">
        <v>0.75744999999999996</v>
      </c>
      <c r="H4">
        <v>0.25921</v>
      </c>
      <c r="I4">
        <v>0.46407999999999999</v>
      </c>
    </row>
    <row r="5" spans="1:9" x14ac:dyDescent="0.2">
      <c r="A5" t="s">
        <v>16</v>
      </c>
      <c r="B5">
        <v>38</v>
      </c>
      <c r="C5">
        <v>0.68893000000000004</v>
      </c>
      <c r="D5">
        <v>3</v>
      </c>
      <c r="E5">
        <v>2.8535000000000001E-2</v>
      </c>
      <c r="F5">
        <v>1.5446</v>
      </c>
      <c r="G5">
        <v>1</v>
      </c>
      <c r="H5">
        <v>0.54930000000000001</v>
      </c>
      <c r="I5">
        <v>0</v>
      </c>
    </row>
    <row r="6" spans="1:9" x14ac:dyDescent="0.2">
      <c r="A6" t="s">
        <v>17</v>
      </c>
      <c r="B6">
        <v>5</v>
      </c>
      <c r="C6">
        <v>9.0648999999999993E-2</v>
      </c>
      <c r="D6">
        <v>1</v>
      </c>
      <c r="E6">
        <v>8.7581999999999993E-2</v>
      </c>
      <c r="F6">
        <v>1.0576000000000001</v>
      </c>
      <c r="G6">
        <v>1</v>
      </c>
      <c r="H6">
        <v>1</v>
      </c>
      <c r="I6">
        <v>0</v>
      </c>
    </row>
    <row r="7" spans="1:9" x14ac:dyDescent="0.2">
      <c r="A7" t="s">
        <v>18</v>
      </c>
      <c r="B7">
        <v>29</v>
      </c>
      <c r="C7">
        <v>0.52576000000000001</v>
      </c>
      <c r="D7">
        <v>2</v>
      </c>
      <c r="E7">
        <v>9.4556000000000001E-2</v>
      </c>
      <c r="F7">
        <v>1.0243</v>
      </c>
      <c r="G7">
        <v>1</v>
      </c>
      <c r="H7">
        <v>1</v>
      </c>
      <c r="I7">
        <v>0.19111</v>
      </c>
    </row>
    <row r="8" spans="1:9" x14ac:dyDescent="0.2">
      <c r="A8" t="s">
        <v>19</v>
      </c>
      <c r="B8">
        <v>29</v>
      </c>
      <c r="C8">
        <v>0.52576000000000001</v>
      </c>
      <c r="D8">
        <v>2</v>
      </c>
      <c r="E8">
        <v>9.4556000000000001E-2</v>
      </c>
      <c r="F8">
        <v>1.0243</v>
      </c>
      <c r="G8">
        <v>1</v>
      </c>
      <c r="H8">
        <v>1</v>
      </c>
      <c r="I8">
        <v>0.35224</v>
      </c>
    </row>
    <row r="9" spans="1:9" x14ac:dyDescent="0.2">
      <c r="A9" t="s">
        <v>20</v>
      </c>
      <c r="B9">
        <v>68</v>
      </c>
      <c r="C9">
        <v>1.2327999999999999</v>
      </c>
      <c r="D9">
        <v>3</v>
      </c>
      <c r="E9">
        <v>0.12010999999999999</v>
      </c>
      <c r="F9">
        <v>0.92040999999999995</v>
      </c>
      <c r="G9">
        <v>1</v>
      </c>
      <c r="H9">
        <v>1</v>
      </c>
      <c r="I9">
        <v>6.8750000000000006E-2</v>
      </c>
    </row>
    <row r="10" spans="1:9" x14ac:dyDescent="0.2">
      <c r="A10" t="s">
        <v>21</v>
      </c>
      <c r="B10">
        <v>7</v>
      </c>
      <c r="C10">
        <v>0.12691</v>
      </c>
      <c r="D10">
        <v>1</v>
      </c>
      <c r="E10">
        <v>0.12053999999999999</v>
      </c>
      <c r="F10">
        <v>0.91888000000000003</v>
      </c>
      <c r="G10">
        <v>1</v>
      </c>
      <c r="H10">
        <v>1</v>
      </c>
      <c r="I10">
        <v>0.27585999999999999</v>
      </c>
    </row>
    <row r="11" spans="1:9" x14ac:dyDescent="0.2">
      <c r="A11" t="s">
        <v>22</v>
      </c>
      <c r="B11">
        <v>8</v>
      </c>
      <c r="C11">
        <v>0.14504</v>
      </c>
      <c r="D11">
        <v>1</v>
      </c>
      <c r="E11">
        <v>0.13658999999999999</v>
      </c>
      <c r="F11">
        <v>0.86458000000000002</v>
      </c>
      <c r="G11">
        <v>1</v>
      </c>
      <c r="H11">
        <v>1</v>
      </c>
      <c r="I11">
        <v>0</v>
      </c>
    </row>
    <row r="12" spans="1:9" x14ac:dyDescent="0.2">
      <c r="A12" t="s">
        <v>23</v>
      </c>
      <c r="B12">
        <v>12</v>
      </c>
      <c r="C12">
        <v>0.21756</v>
      </c>
      <c r="D12">
        <v>1</v>
      </c>
      <c r="E12">
        <v>0.19806000000000001</v>
      </c>
      <c r="F12">
        <v>0.70320000000000005</v>
      </c>
      <c r="G12">
        <v>1</v>
      </c>
      <c r="H12">
        <v>1</v>
      </c>
      <c r="I12">
        <v>0</v>
      </c>
    </row>
    <row r="13" spans="1:9" x14ac:dyDescent="0.2">
      <c r="A13" t="s">
        <v>24</v>
      </c>
      <c r="B13">
        <v>18</v>
      </c>
      <c r="C13">
        <v>0.32634000000000002</v>
      </c>
      <c r="D13">
        <v>1</v>
      </c>
      <c r="E13">
        <v>0.28255000000000002</v>
      </c>
      <c r="F13">
        <v>0.54890000000000005</v>
      </c>
      <c r="G13">
        <v>1</v>
      </c>
      <c r="H13">
        <v>1</v>
      </c>
      <c r="I13">
        <v>0</v>
      </c>
    </row>
    <row r="14" spans="1:9" x14ac:dyDescent="0.2">
      <c r="A14" t="s">
        <v>25</v>
      </c>
      <c r="B14">
        <v>20</v>
      </c>
      <c r="C14">
        <v>0.36259999999999998</v>
      </c>
      <c r="D14">
        <v>1</v>
      </c>
      <c r="E14">
        <v>0.30879000000000001</v>
      </c>
      <c r="F14">
        <v>0.51034000000000002</v>
      </c>
      <c r="G14">
        <v>1</v>
      </c>
      <c r="H14">
        <v>1</v>
      </c>
      <c r="I14">
        <v>0</v>
      </c>
    </row>
    <row r="15" spans="1:9" x14ac:dyDescent="0.2">
      <c r="A15" t="s">
        <v>26</v>
      </c>
      <c r="B15">
        <v>20</v>
      </c>
      <c r="C15">
        <v>0.36259999999999998</v>
      </c>
      <c r="D15">
        <v>1</v>
      </c>
      <c r="E15">
        <v>0.30879000000000001</v>
      </c>
      <c r="F15">
        <v>0.51034000000000002</v>
      </c>
      <c r="G15">
        <v>1</v>
      </c>
      <c r="H15">
        <v>1</v>
      </c>
      <c r="I15">
        <v>4.4119999999999999E-2</v>
      </c>
    </row>
    <row r="16" spans="1:9" x14ac:dyDescent="0.2">
      <c r="A16" t="s">
        <v>27</v>
      </c>
      <c r="B16">
        <v>23</v>
      </c>
      <c r="C16">
        <v>0.41698000000000002</v>
      </c>
      <c r="D16">
        <v>1</v>
      </c>
      <c r="E16">
        <v>0.34644999999999998</v>
      </c>
      <c r="F16">
        <v>0.46035999999999999</v>
      </c>
      <c r="G16">
        <v>1</v>
      </c>
      <c r="H16">
        <v>1</v>
      </c>
      <c r="I16">
        <v>3.5709999999999999E-2</v>
      </c>
    </row>
    <row r="17" spans="1:9" x14ac:dyDescent="0.2">
      <c r="A17" t="s">
        <v>28</v>
      </c>
      <c r="B17">
        <v>23</v>
      </c>
      <c r="C17">
        <v>0.41698000000000002</v>
      </c>
      <c r="D17">
        <v>1</v>
      </c>
      <c r="E17">
        <v>0.34644999999999998</v>
      </c>
      <c r="F17">
        <v>0.46035999999999999</v>
      </c>
      <c r="G17">
        <v>1</v>
      </c>
      <c r="H17">
        <v>1</v>
      </c>
      <c r="I17">
        <v>0.18243000000000001</v>
      </c>
    </row>
    <row r="18" spans="1:9" x14ac:dyDescent="0.2">
      <c r="A18" t="s">
        <v>29</v>
      </c>
      <c r="B18">
        <v>24</v>
      </c>
      <c r="C18">
        <v>0.43511</v>
      </c>
      <c r="D18">
        <v>1</v>
      </c>
      <c r="E18">
        <v>0.35855999999999999</v>
      </c>
      <c r="F18">
        <v>0.44542999999999999</v>
      </c>
      <c r="G18">
        <v>1</v>
      </c>
      <c r="H18">
        <v>1</v>
      </c>
      <c r="I18">
        <v>0</v>
      </c>
    </row>
    <row r="19" spans="1:9" x14ac:dyDescent="0.2">
      <c r="A19" t="s">
        <v>30</v>
      </c>
      <c r="B19">
        <v>27</v>
      </c>
      <c r="C19">
        <v>0.48949999999999999</v>
      </c>
      <c r="D19">
        <v>1</v>
      </c>
      <c r="E19">
        <v>0.39363999999999999</v>
      </c>
      <c r="F19">
        <v>0.40489999999999998</v>
      </c>
      <c r="G19">
        <v>1</v>
      </c>
      <c r="H19">
        <v>1</v>
      </c>
      <c r="I19">
        <v>1.89E-3</v>
      </c>
    </row>
    <row r="20" spans="1:9" x14ac:dyDescent="0.2">
      <c r="A20" t="s">
        <v>31</v>
      </c>
      <c r="B20">
        <v>27</v>
      </c>
      <c r="C20">
        <v>0.48949999999999999</v>
      </c>
      <c r="D20">
        <v>1</v>
      </c>
      <c r="E20">
        <v>0.39363999999999999</v>
      </c>
      <c r="F20">
        <v>0.40489999999999998</v>
      </c>
      <c r="G20">
        <v>1</v>
      </c>
      <c r="H20">
        <v>1</v>
      </c>
      <c r="I20">
        <v>1.7090000000000001E-2</v>
      </c>
    </row>
    <row r="21" spans="1:9" x14ac:dyDescent="0.2">
      <c r="A21" t="s">
        <v>32</v>
      </c>
      <c r="B21">
        <v>28</v>
      </c>
      <c r="C21">
        <v>0.50763000000000003</v>
      </c>
      <c r="D21">
        <v>1</v>
      </c>
      <c r="E21">
        <v>0.40493000000000001</v>
      </c>
      <c r="F21">
        <v>0.39262000000000002</v>
      </c>
      <c r="G21">
        <v>1</v>
      </c>
      <c r="H21">
        <v>1</v>
      </c>
      <c r="I21">
        <v>0.11704000000000001</v>
      </c>
    </row>
    <row r="22" spans="1:9" x14ac:dyDescent="0.2">
      <c r="A22" t="s">
        <v>33</v>
      </c>
      <c r="B22">
        <v>30</v>
      </c>
      <c r="C22">
        <v>0.54388999999999998</v>
      </c>
      <c r="D22">
        <v>1</v>
      </c>
      <c r="E22">
        <v>0.4269</v>
      </c>
      <c r="F22">
        <v>0.36967</v>
      </c>
      <c r="G22">
        <v>1</v>
      </c>
      <c r="H22">
        <v>1</v>
      </c>
      <c r="I22">
        <v>0.21401000000000001</v>
      </c>
    </row>
    <row r="23" spans="1:9" x14ac:dyDescent="0.2">
      <c r="A23" t="s">
        <v>34</v>
      </c>
      <c r="B23">
        <v>32</v>
      </c>
      <c r="C23">
        <v>0.58015000000000005</v>
      </c>
      <c r="D23">
        <v>1</v>
      </c>
      <c r="E23">
        <v>0.4481</v>
      </c>
      <c r="F23">
        <v>0.34861999999999999</v>
      </c>
      <c r="G23">
        <v>1</v>
      </c>
      <c r="H23">
        <v>1</v>
      </c>
      <c r="I23">
        <v>2.3300000000000001E-2</v>
      </c>
    </row>
    <row r="24" spans="1:9" x14ac:dyDescent="0.2">
      <c r="A24" t="s">
        <v>35</v>
      </c>
      <c r="B24">
        <v>32</v>
      </c>
      <c r="C24">
        <v>0.58015000000000005</v>
      </c>
      <c r="D24">
        <v>1</v>
      </c>
      <c r="E24">
        <v>0.4481</v>
      </c>
      <c r="F24">
        <v>0.34861999999999999</v>
      </c>
      <c r="G24">
        <v>1</v>
      </c>
      <c r="H24">
        <v>1</v>
      </c>
      <c r="I24">
        <v>0.10718</v>
      </c>
    </row>
    <row r="25" spans="1:9" x14ac:dyDescent="0.2">
      <c r="A25" t="s">
        <v>36</v>
      </c>
      <c r="B25">
        <v>39</v>
      </c>
      <c r="C25">
        <v>0.70706000000000002</v>
      </c>
      <c r="D25">
        <v>1</v>
      </c>
      <c r="E25">
        <v>0.51661000000000001</v>
      </c>
      <c r="F25">
        <v>0.28683999999999998</v>
      </c>
      <c r="G25">
        <v>1</v>
      </c>
      <c r="H25">
        <v>1</v>
      </c>
      <c r="I25">
        <v>0</v>
      </c>
    </row>
    <row r="26" spans="1:9" x14ac:dyDescent="0.2">
      <c r="A26" t="s">
        <v>37</v>
      </c>
      <c r="B26">
        <v>40</v>
      </c>
      <c r="C26">
        <v>0.72519</v>
      </c>
      <c r="D26">
        <v>1</v>
      </c>
      <c r="E26">
        <v>0.52571000000000001</v>
      </c>
      <c r="F26">
        <v>0.27925</v>
      </c>
      <c r="G26">
        <v>1</v>
      </c>
      <c r="H26">
        <v>1</v>
      </c>
      <c r="I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E2B7-6B36-454E-82FD-6C840A212F9D}">
  <dimension ref="A1:I24"/>
  <sheetViews>
    <sheetView workbookViewId="0">
      <selection activeCell="P27" sqref="P27"/>
    </sheetView>
  </sheetViews>
  <sheetFormatPr baseColWidth="10" defaultRowHeight="16" x14ac:dyDescent="0.2"/>
  <sheetData>
    <row r="1" spans="1:9" x14ac:dyDescent="0.2">
      <c r="B1" t="s">
        <v>5</v>
      </c>
      <c r="C1" t="s">
        <v>6</v>
      </c>
      <c r="D1" t="s">
        <v>7</v>
      </c>
      <c r="E1" t="s">
        <v>8</v>
      </c>
      <c r="F1" t="e">
        <f>-LOG10(p)</f>
        <v>#NAME?</v>
      </c>
      <c r="G1" t="s">
        <v>9</v>
      </c>
      <c r="H1" t="s">
        <v>10</v>
      </c>
      <c r="I1" t="s">
        <v>11</v>
      </c>
    </row>
    <row r="2" spans="1:9" x14ac:dyDescent="0.2">
      <c r="A2" t="s">
        <v>12</v>
      </c>
      <c r="B2">
        <v>8</v>
      </c>
      <c r="C2">
        <v>0.13739999999999999</v>
      </c>
      <c r="D2">
        <v>2</v>
      </c>
      <c r="E2">
        <v>7.3435000000000002E-3</v>
      </c>
      <c r="F2">
        <v>2.1341000000000001</v>
      </c>
      <c r="G2">
        <v>0.56545000000000001</v>
      </c>
      <c r="H2">
        <v>0.43486999999999998</v>
      </c>
      <c r="I2">
        <v>0</v>
      </c>
    </row>
    <row r="3" spans="1:9" x14ac:dyDescent="0.2">
      <c r="A3" t="s">
        <v>23</v>
      </c>
      <c r="B3">
        <v>12</v>
      </c>
      <c r="C3">
        <v>0.20610999999999999</v>
      </c>
      <c r="D3">
        <v>2</v>
      </c>
      <c r="E3">
        <v>1.6617E-2</v>
      </c>
      <c r="F3">
        <v>1.7794000000000001</v>
      </c>
      <c r="G3">
        <v>1</v>
      </c>
      <c r="H3">
        <v>0.43486999999999998</v>
      </c>
      <c r="I3">
        <v>0</v>
      </c>
    </row>
    <row r="4" spans="1:9" x14ac:dyDescent="0.2">
      <c r="A4" t="s">
        <v>40</v>
      </c>
      <c r="B4">
        <v>14</v>
      </c>
      <c r="C4">
        <v>0.24046000000000001</v>
      </c>
      <c r="D4">
        <v>2</v>
      </c>
      <c r="E4">
        <v>2.2450000000000001E-2</v>
      </c>
      <c r="F4">
        <v>1.6488</v>
      </c>
      <c r="G4">
        <v>1</v>
      </c>
      <c r="H4">
        <v>0.43486999999999998</v>
      </c>
      <c r="I4">
        <v>0.27700000000000002</v>
      </c>
    </row>
    <row r="5" spans="1:9" x14ac:dyDescent="0.2">
      <c r="A5" t="s">
        <v>36</v>
      </c>
      <c r="B5">
        <v>39</v>
      </c>
      <c r="C5">
        <v>0.66984999999999995</v>
      </c>
      <c r="D5">
        <v>3</v>
      </c>
      <c r="E5">
        <v>2.6404E-2</v>
      </c>
      <c r="F5">
        <v>1.5783</v>
      </c>
      <c r="G5">
        <v>1</v>
      </c>
      <c r="H5">
        <v>0.43486999999999998</v>
      </c>
      <c r="I5">
        <v>8.9660000000000004E-2</v>
      </c>
    </row>
    <row r="6" spans="1:9" x14ac:dyDescent="0.2">
      <c r="A6" t="s">
        <v>37</v>
      </c>
      <c r="B6">
        <v>40</v>
      </c>
      <c r="C6">
        <v>0.68701999999999996</v>
      </c>
      <c r="D6">
        <v>3</v>
      </c>
      <c r="E6">
        <v>2.8237999999999999E-2</v>
      </c>
      <c r="F6">
        <v>1.5491999999999999</v>
      </c>
      <c r="G6">
        <v>1</v>
      </c>
      <c r="H6">
        <v>0.43486999999999998</v>
      </c>
      <c r="I6">
        <v>0.15634999999999999</v>
      </c>
    </row>
    <row r="7" spans="1:9" x14ac:dyDescent="0.2">
      <c r="A7" t="s">
        <v>25</v>
      </c>
      <c r="B7">
        <v>20</v>
      </c>
      <c r="C7">
        <v>0.34350999999999998</v>
      </c>
      <c r="D7">
        <v>2</v>
      </c>
      <c r="E7">
        <v>4.4102000000000002E-2</v>
      </c>
      <c r="F7">
        <v>1.3554999999999999</v>
      </c>
      <c r="G7">
        <v>1</v>
      </c>
      <c r="H7">
        <v>0.56596999999999997</v>
      </c>
      <c r="I7">
        <v>4.4589999999999998E-2</v>
      </c>
    </row>
    <row r="8" spans="1:9" x14ac:dyDescent="0.2">
      <c r="A8" t="s">
        <v>28</v>
      </c>
      <c r="B8">
        <v>23</v>
      </c>
      <c r="C8">
        <v>0.39504</v>
      </c>
      <c r="D8">
        <v>2</v>
      </c>
      <c r="E8">
        <v>5.6967999999999998E-2</v>
      </c>
      <c r="F8">
        <v>1.2444</v>
      </c>
      <c r="G8">
        <v>1</v>
      </c>
      <c r="H8">
        <v>0.62663999999999997</v>
      </c>
      <c r="I8">
        <v>6.7570000000000005E-2</v>
      </c>
    </row>
    <row r="9" spans="1:9" x14ac:dyDescent="0.2">
      <c r="A9" t="s">
        <v>30</v>
      </c>
      <c r="B9">
        <v>27</v>
      </c>
      <c r="C9">
        <v>0.46373999999999999</v>
      </c>
      <c r="D9">
        <v>2</v>
      </c>
      <c r="E9">
        <v>7.5903999999999999E-2</v>
      </c>
      <c r="F9">
        <v>1.1196999999999999</v>
      </c>
      <c r="G9">
        <v>1</v>
      </c>
      <c r="H9">
        <v>0.64939999999999998</v>
      </c>
      <c r="I9">
        <v>0</v>
      </c>
    </row>
    <row r="10" spans="1:9" x14ac:dyDescent="0.2">
      <c r="A10" t="s">
        <v>31</v>
      </c>
      <c r="B10">
        <v>27</v>
      </c>
      <c r="C10">
        <v>0.46373999999999999</v>
      </c>
      <c r="D10">
        <v>2</v>
      </c>
      <c r="E10">
        <v>7.5903999999999999E-2</v>
      </c>
      <c r="F10">
        <v>1.1196999999999999</v>
      </c>
      <c r="G10">
        <v>1</v>
      </c>
      <c r="H10">
        <v>0.64939999999999998</v>
      </c>
      <c r="I10">
        <v>1.7090000000000001E-2</v>
      </c>
    </row>
    <row r="11" spans="1:9" x14ac:dyDescent="0.2">
      <c r="A11" t="s">
        <v>19</v>
      </c>
      <c r="B11">
        <v>29</v>
      </c>
      <c r="C11">
        <v>0.49808999999999998</v>
      </c>
      <c r="D11">
        <v>2</v>
      </c>
      <c r="E11">
        <v>8.6045999999999997E-2</v>
      </c>
      <c r="F11">
        <v>1.0652999999999999</v>
      </c>
      <c r="G11">
        <v>1</v>
      </c>
      <c r="H11">
        <v>0.66254999999999997</v>
      </c>
      <c r="I11">
        <v>0.31817000000000001</v>
      </c>
    </row>
    <row r="12" spans="1:9" x14ac:dyDescent="0.2">
      <c r="A12" t="s">
        <v>41</v>
      </c>
      <c r="B12">
        <v>9</v>
      </c>
      <c r="C12">
        <v>0.15458</v>
      </c>
      <c r="D12">
        <v>1</v>
      </c>
      <c r="E12">
        <v>0.14488999999999999</v>
      </c>
      <c r="F12">
        <v>0.83896000000000004</v>
      </c>
      <c r="G12">
        <v>1</v>
      </c>
      <c r="H12">
        <v>1</v>
      </c>
      <c r="I12">
        <v>0</v>
      </c>
    </row>
    <row r="13" spans="1:9" x14ac:dyDescent="0.2">
      <c r="A13" t="s">
        <v>42</v>
      </c>
      <c r="B13">
        <v>14</v>
      </c>
      <c r="C13">
        <v>0.24046000000000001</v>
      </c>
      <c r="D13">
        <v>1</v>
      </c>
      <c r="E13">
        <v>0.21657000000000001</v>
      </c>
      <c r="F13">
        <v>0.66439999999999999</v>
      </c>
      <c r="G13">
        <v>1</v>
      </c>
      <c r="H13">
        <v>1</v>
      </c>
      <c r="I13">
        <v>0</v>
      </c>
    </row>
    <row r="14" spans="1:9" x14ac:dyDescent="0.2">
      <c r="A14" t="s">
        <v>43</v>
      </c>
      <c r="B14">
        <v>17</v>
      </c>
      <c r="C14">
        <v>0.29198000000000002</v>
      </c>
      <c r="D14">
        <v>1</v>
      </c>
      <c r="E14">
        <v>0.25681999999999999</v>
      </c>
      <c r="F14">
        <v>0.59038000000000002</v>
      </c>
      <c r="G14">
        <v>1</v>
      </c>
      <c r="H14">
        <v>1</v>
      </c>
      <c r="I14">
        <v>0.16866999999999999</v>
      </c>
    </row>
    <row r="15" spans="1:9" x14ac:dyDescent="0.2">
      <c r="A15" t="s">
        <v>44</v>
      </c>
      <c r="B15">
        <v>20</v>
      </c>
      <c r="C15">
        <v>0.34350999999999998</v>
      </c>
      <c r="D15">
        <v>1</v>
      </c>
      <c r="E15">
        <v>0.29509999999999997</v>
      </c>
      <c r="F15">
        <v>0.53003</v>
      </c>
      <c r="G15">
        <v>1</v>
      </c>
      <c r="H15">
        <v>1</v>
      </c>
      <c r="I15">
        <v>0</v>
      </c>
    </row>
    <row r="16" spans="1:9" x14ac:dyDescent="0.2">
      <c r="A16" t="s">
        <v>26</v>
      </c>
      <c r="B16">
        <v>20</v>
      </c>
      <c r="C16">
        <v>0.34350999999999998</v>
      </c>
      <c r="D16">
        <v>1</v>
      </c>
      <c r="E16">
        <v>0.29509999999999997</v>
      </c>
      <c r="F16">
        <v>0.53003</v>
      </c>
      <c r="G16">
        <v>1</v>
      </c>
      <c r="H16">
        <v>1</v>
      </c>
      <c r="I16">
        <v>5.8560000000000001E-2</v>
      </c>
    </row>
    <row r="17" spans="1:9" x14ac:dyDescent="0.2">
      <c r="A17" t="s">
        <v>14</v>
      </c>
      <c r="B17">
        <v>24</v>
      </c>
      <c r="C17">
        <v>0.41221000000000002</v>
      </c>
      <c r="D17">
        <v>1</v>
      </c>
      <c r="E17">
        <v>0.34326000000000001</v>
      </c>
      <c r="F17">
        <v>0.46438000000000001</v>
      </c>
      <c r="G17">
        <v>1</v>
      </c>
      <c r="H17">
        <v>1</v>
      </c>
      <c r="I17">
        <v>6.6669999999999993E-2</v>
      </c>
    </row>
    <row r="18" spans="1:9" x14ac:dyDescent="0.2">
      <c r="A18" t="s">
        <v>45</v>
      </c>
      <c r="B18">
        <v>26</v>
      </c>
      <c r="C18">
        <v>0.44656000000000001</v>
      </c>
      <c r="D18">
        <v>1</v>
      </c>
      <c r="E18">
        <v>0.36615999999999999</v>
      </c>
      <c r="F18">
        <v>0.43633</v>
      </c>
      <c r="G18">
        <v>1</v>
      </c>
      <c r="H18">
        <v>1</v>
      </c>
      <c r="I18">
        <v>0</v>
      </c>
    </row>
    <row r="19" spans="1:9" x14ac:dyDescent="0.2">
      <c r="A19" t="s">
        <v>18</v>
      </c>
      <c r="B19">
        <v>29</v>
      </c>
      <c r="C19">
        <v>0.49808999999999998</v>
      </c>
      <c r="D19">
        <v>1</v>
      </c>
      <c r="E19">
        <v>0.39909</v>
      </c>
      <c r="F19">
        <v>0.39893000000000001</v>
      </c>
      <c r="G19">
        <v>1</v>
      </c>
      <c r="H19">
        <v>1</v>
      </c>
      <c r="I19">
        <v>4.8890000000000003E-2</v>
      </c>
    </row>
    <row r="20" spans="1:9" x14ac:dyDescent="0.2">
      <c r="A20" t="s">
        <v>33</v>
      </c>
      <c r="B20">
        <v>30</v>
      </c>
      <c r="C20">
        <v>0.51527000000000001</v>
      </c>
      <c r="D20">
        <v>1</v>
      </c>
      <c r="E20">
        <v>0.40971000000000002</v>
      </c>
      <c r="F20">
        <v>0.38752999999999999</v>
      </c>
      <c r="G20">
        <v>1</v>
      </c>
      <c r="H20">
        <v>1</v>
      </c>
      <c r="I20">
        <v>0</v>
      </c>
    </row>
    <row r="21" spans="1:9" x14ac:dyDescent="0.2">
      <c r="A21" t="s">
        <v>35</v>
      </c>
      <c r="B21">
        <v>32</v>
      </c>
      <c r="C21">
        <v>0.54962</v>
      </c>
      <c r="D21">
        <v>1</v>
      </c>
      <c r="E21">
        <v>0.43041000000000001</v>
      </c>
      <c r="F21">
        <v>0.36612</v>
      </c>
      <c r="G21">
        <v>1</v>
      </c>
      <c r="H21">
        <v>1</v>
      </c>
      <c r="I21">
        <v>0</v>
      </c>
    </row>
    <row r="22" spans="1:9" x14ac:dyDescent="0.2">
      <c r="A22" t="s">
        <v>34</v>
      </c>
      <c r="B22">
        <v>32</v>
      </c>
      <c r="C22">
        <v>0.54962</v>
      </c>
      <c r="D22">
        <v>1</v>
      </c>
      <c r="E22">
        <v>0.43041000000000001</v>
      </c>
      <c r="F22">
        <v>0.36612</v>
      </c>
      <c r="G22">
        <v>1</v>
      </c>
      <c r="H22">
        <v>1</v>
      </c>
      <c r="I22">
        <v>2.3300000000000001E-2</v>
      </c>
    </row>
    <row r="23" spans="1:9" x14ac:dyDescent="0.2">
      <c r="A23" t="s">
        <v>16</v>
      </c>
      <c r="B23">
        <v>38</v>
      </c>
      <c r="C23">
        <v>0.65266999999999997</v>
      </c>
      <c r="D23">
        <v>1</v>
      </c>
      <c r="E23">
        <v>0.48847000000000002</v>
      </c>
      <c r="F23">
        <v>0.31115999999999999</v>
      </c>
      <c r="G23">
        <v>1</v>
      </c>
      <c r="H23">
        <v>1</v>
      </c>
      <c r="I23">
        <v>1.038E-2</v>
      </c>
    </row>
    <row r="24" spans="1:9" x14ac:dyDescent="0.2">
      <c r="A24" t="s">
        <v>20</v>
      </c>
      <c r="B24">
        <v>68</v>
      </c>
      <c r="C24">
        <v>1.1678999999999999</v>
      </c>
      <c r="D24">
        <v>1</v>
      </c>
      <c r="E24">
        <v>0.70411999999999997</v>
      </c>
      <c r="F24">
        <v>0.15235000000000001</v>
      </c>
      <c r="G24">
        <v>1</v>
      </c>
      <c r="H24">
        <v>1</v>
      </c>
      <c r="I24">
        <v>1.9120000000000002E-2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4E98-4DF8-8949-82F0-CD8DA2D67F3A}">
  <dimension ref="A1:I9"/>
  <sheetViews>
    <sheetView workbookViewId="0">
      <selection activeCell="O20" sqref="O20"/>
    </sheetView>
  </sheetViews>
  <sheetFormatPr baseColWidth="10" defaultRowHeight="16" x14ac:dyDescent="0.2"/>
  <sheetData>
    <row r="1" spans="1:9" x14ac:dyDescent="0.2">
      <c r="B1" t="s">
        <v>5</v>
      </c>
      <c r="C1" t="s">
        <v>6</v>
      </c>
      <c r="D1" t="s">
        <v>7</v>
      </c>
      <c r="E1" t="s">
        <v>8</v>
      </c>
      <c r="F1" t="e">
        <f>-LOG10(p)</f>
        <v>#NAME?</v>
      </c>
      <c r="G1" t="s">
        <v>9</v>
      </c>
      <c r="H1" t="s">
        <v>10</v>
      </c>
      <c r="I1" t="s">
        <v>11</v>
      </c>
    </row>
    <row r="2" spans="1:9" x14ac:dyDescent="0.2">
      <c r="A2" t="s">
        <v>28</v>
      </c>
      <c r="B2">
        <v>23</v>
      </c>
      <c r="C2">
        <v>8.7786000000000003E-2</v>
      </c>
      <c r="D2">
        <v>2</v>
      </c>
      <c r="E2">
        <v>2.6933999999999999E-3</v>
      </c>
      <c r="F2">
        <v>2.5697000000000001</v>
      </c>
      <c r="G2">
        <v>0.20738999999999999</v>
      </c>
      <c r="H2">
        <v>0.20738999999999999</v>
      </c>
      <c r="I2">
        <v>3.3800000000000002E-3</v>
      </c>
    </row>
    <row r="3" spans="1:9" x14ac:dyDescent="0.2">
      <c r="A3" t="s">
        <v>21</v>
      </c>
      <c r="B3">
        <v>7</v>
      </c>
      <c r="C3">
        <v>2.6717999999999999E-2</v>
      </c>
      <c r="D3">
        <v>1</v>
      </c>
      <c r="E3">
        <v>2.6488999999999999E-2</v>
      </c>
      <c r="F3">
        <v>1.5769</v>
      </c>
      <c r="G3">
        <v>1</v>
      </c>
      <c r="H3">
        <v>1</v>
      </c>
      <c r="I3">
        <v>0.27585999999999999</v>
      </c>
    </row>
    <row r="4" spans="1:9" x14ac:dyDescent="0.2">
      <c r="A4" t="s">
        <v>23</v>
      </c>
      <c r="B4">
        <v>12</v>
      </c>
      <c r="C4">
        <v>4.5802000000000002E-2</v>
      </c>
      <c r="D4">
        <v>1</v>
      </c>
      <c r="E4">
        <v>4.5083999999999999E-2</v>
      </c>
      <c r="F4">
        <v>1.3460000000000001</v>
      </c>
      <c r="G4">
        <v>1</v>
      </c>
      <c r="H4">
        <v>1</v>
      </c>
      <c r="I4">
        <v>0</v>
      </c>
    </row>
    <row r="5" spans="1:9" x14ac:dyDescent="0.2">
      <c r="A5" t="s">
        <v>26</v>
      </c>
      <c r="B5">
        <v>20</v>
      </c>
      <c r="C5">
        <v>7.6336000000000001E-2</v>
      </c>
      <c r="D5">
        <v>1</v>
      </c>
      <c r="E5">
        <v>7.4282000000000001E-2</v>
      </c>
      <c r="F5">
        <v>1.1291</v>
      </c>
      <c r="G5">
        <v>1</v>
      </c>
      <c r="H5">
        <v>1</v>
      </c>
      <c r="I5">
        <v>2.981E-2</v>
      </c>
    </row>
    <row r="6" spans="1:9" x14ac:dyDescent="0.2">
      <c r="A6" t="s">
        <v>27</v>
      </c>
      <c r="B6">
        <v>23</v>
      </c>
      <c r="C6">
        <v>8.7786000000000003E-2</v>
      </c>
      <c r="D6">
        <v>1</v>
      </c>
      <c r="E6">
        <v>8.5056000000000007E-2</v>
      </c>
      <c r="F6">
        <v>1.0703</v>
      </c>
      <c r="G6">
        <v>1</v>
      </c>
      <c r="H6">
        <v>1</v>
      </c>
      <c r="I6">
        <v>0</v>
      </c>
    </row>
    <row r="7" spans="1:9" x14ac:dyDescent="0.2">
      <c r="A7" t="s">
        <v>15</v>
      </c>
      <c r="B7">
        <v>26</v>
      </c>
      <c r="C7">
        <v>9.9237000000000006E-2</v>
      </c>
      <c r="D7">
        <v>1</v>
      </c>
      <c r="E7">
        <v>9.5736000000000002E-2</v>
      </c>
      <c r="F7">
        <v>1.0188999999999999</v>
      </c>
      <c r="G7">
        <v>1</v>
      </c>
      <c r="H7">
        <v>1</v>
      </c>
      <c r="I7">
        <v>1.7239999999999998E-2</v>
      </c>
    </row>
    <row r="8" spans="1:9" x14ac:dyDescent="0.2">
      <c r="A8" t="s">
        <v>18</v>
      </c>
      <c r="B8">
        <v>29</v>
      </c>
      <c r="C8">
        <v>0.11069</v>
      </c>
      <c r="D8">
        <v>1</v>
      </c>
      <c r="E8">
        <v>0.10632</v>
      </c>
      <c r="F8">
        <v>0.97336999999999996</v>
      </c>
      <c r="G8">
        <v>1</v>
      </c>
      <c r="H8">
        <v>1</v>
      </c>
      <c r="I8">
        <v>0.14222000000000001</v>
      </c>
    </row>
    <row r="9" spans="1:9" x14ac:dyDescent="0.2">
      <c r="A9" t="s">
        <v>46</v>
      </c>
      <c r="B9">
        <v>33</v>
      </c>
      <c r="C9">
        <v>0.12595000000000001</v>
      </c>
      <c r="D9">
        <v>1</v>
      </c>
      <c r="E9">
        <v>0.12028999999999999</v>
      </c>
      <c r="F9">
        <v>0.91976000000000002</v>
      </c>
      <c r="G9">
        <v>1</v>
      </c>
      <c r="H9">
        <v>1</v>
      </c>
      <c r="I9">
        <v>4.1209999999999997E-2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095C-76D4-E345-A12D-5768B180E675}">
  <dimension ref="A1:I13"/>
  <sheetViews>
    <sheetView workbookViewId="0">
      <selection sqref="A1:XFD1048576"/>
    </sheetView>
  </sheetViews>
  <sheetFormatPr baseColWidth="10" defaultRowHeight="16" x14ac:dyDescent="0.2"/>
  <sheetData>
    <row r="1" spans="1:9" x14ac:dyDescent="0.2">
      <c r="B1" t="s">
        <v>5</v>
      </c>
      <c r="C1" t="s">
        <v>6</v>
      </c>
      <c r="D1" t="s">
        <v>7</v>
      </c>
      <c r="E1" t="s">
        <v>8</v>
      </c>
      <c r="F1" t="e">
        <f>-LOG10(p)</f>
        <v>#NAME?</v>
      </c>
      <c r="G1" t="s">
        <v>9</v>
      </c>
      <c r="H1" t="s">
        <v>10</v>
      </c>
      <c r="I1" t="s">
        <v>11</v>
      </c>
    </row>
    <row r="2" spans="1:9" x14ac:dyDescent="0.2">
      <c r="A2" t="s">
        <v>47</v>
      </c>
      <c r="B2">
        <v>4</v>
      </c>
      <c r="C2">
        <v>3.0533999999999999E-2</v>
      </c>
      <c r="D2">
        <v>2</v>
      </c>
      <c r="E2">
        <v>3.0388000000000002E-4</v>
      </c>
      <c r="F2">
        <v>3.5173000000000001</v>
      </c>
      <c r="G2">
        <v>2.3399E-2</v>
      </c>
      <c r="H2">
        <v>2.3399E-2</v>
      </c>
      <c r="I2">
        <v>1</v>
      </c>
    </row>
    <row r="3" spans="1:9" x14ac:dyDescent="0.2">
      <c r="A3" t="s">
        <v>21</v>
      </c>
      <c r="B3">
        <v>7</v>
      </c>
      <c r="C3">
        <v>5.3435000000000003E-2</v>
      </c>
      <c r="D3">
        <v>2</v>
      </c>
      <c r="E3">
        <v>1.0514000000000001E-3</v>
      </c>
      <c r="F3">
        <v>2.9782000000000002</v>
      </c>
      <c r="G3">
        <v>7.9908000000000007E-2</v>
      </c>
      <c r="H3">
        <v>3.5844000000000001E-2</v>
      </c>
      <c r="I3">
        <v>0.37930999999999998</v>
      </c>
    </row>
    <row r="4" spans="1:9" x14ac:dyDescent="0.2">
      <c r="A4" t="s">
        <v>12</v>
      </c>
      <c r="B4">
        <v>8</v>
      </c>
      <c r="C4">
        <v>6.1068999999999998E-2</v>
      </c>
      <c r="D4">
        <v>2</v>
      </c>
      <c r="E4">
        <v>1.3965E-3</v>
      </c>
      <c r="F4">
        <v>2.855</v>
      </c>
      <c r="G4">
        <v>0.10474</v>
      </c>
      <c r="H4">
        <v>3.5844000000000001E-2</v>
      </c>
      <c r="I4">
        <v>0</v>
      </c>
    </row>
    <row r="5" spans="1:9" x14ac:dyDescent="0.2">
      <c r="A5" t="s">
        <v>16</v>
      </c>
      <c r="B5">
        <v>38</v>
      </c>
      <c r="C5">
        <v>0.29008</v>
      </c>
      <c r="D5">
        <v>2</v>
      </c>
      <c r="E5">
        <v>3.1238999999999999E-2</v>
      </c>
      <c r="F5">
        <v>1.5053000000000001</v>
      </c>
      <c r="G5">
        <v>1</v>
      </c>
      <c r="H5">
        <v>0.60135000000000005</v>
      </c>
      <c r="I5">
        <v>0</v>
      </c>
    </row>
    <row r="6" spans="1:9" x14ac:dyDescent="0.2">
      <c r="A6" t="s">
        <v>23</v>
      </c>
      <c r="B6">
        <v>12</v>
      </c>
      <c r="C6">
        <v>9.1603000000000004E-2</v>
      </c>
      <c r="D6">
        <v>1</v>
      </c>
      <c r="E6">
        <v>8.8298000000000001E-2</v>
      </c>
      <c r="F6">
        <v>1.054</v>
      </c>
      <c r="G6">
        <v>1</v>
      </c>
      <c r="H6">
        <v>1</v>
      </c>
      <c r="I6">
        <v>0.17143</v>
      </c>
    </row>
    <row r="7" spans="1:9" x14ac:dyDescent="0.2">
      <c r="A7" t="s">
        <v>24</v>
      </c>
      <c r="B7">
        <v>18</v>
      </c>
      <c r="C7">
        <v>0.13739999999999999</v>
      </c>
      <c r="D7">
        <v>1</v>
      </c>
      <c r="E7">
        <v>0.12983</v>
      </c>
      <c r="F7">
        <v>0.88661999999999996</v>
      </c>
      <c r="G7">
        <v>1</v>
      </c>
      <c r="H7">
        <v>1</v>
      </c>
      <c r="I7">
        <v>0</v>
      </c>
    </row>
    <row r="8" spans="1:9" x14ac:dyDescent="0.2">
      <c r="A8" t="s">
        <v>28</v>
      </c>
      <c r="B8">
        <v>23</v>
      </c>
      <c r="C8">
        <v>0.17557</v>
      </c>
      <c r="D8">
        <v>1</v>
      </c>
      <c r="E8">
        <v>0.16317000000000001</v>
      </c>
      <c r="F8">
        <v>0.78737000000000001</v>
      </c>
      <c r="G8">
        <v>1</v>
      </c>
      <c r="H8">
        <v>1</v>
      </c>
      <c r="I8">
        <v>0</v>
      </c>
    </row>
    <row r="9" spans="1:9" x14ac:dyDescent="0.2">
      <c r="A9" t="s">
        <v>45</v>
      </c>
      <c r="B9">
        <v>26</v>
      </c>
      <c r="C9">
        <v>0.19847000000000001</v>
      </c>
      <c r="D9">
        <v>1</v>
      </c>
      <c r="E9">
        <v>0.18262999999999999</v>
      </c>
      <c r="F9">
        <v>0.73843000000000003</v>
      </c>
      <c r="G9">
        <v>1</v>
      </c>
      <c r="H9">
        <v>1</v>
      </c>
      <c r="I9">
        <v>0</v>
      </c>
    </row>
    <row r="10" spans="1:9" x14ac:dyDescent="0.2">
      <c r="A10" t="s">
        <v>15</v>
      </c>
      <c r="B10">
        <v>26</v>
      </c>
      <c r="C10">
        <v>0.19847000000000001</v>
      </c>
      <c r="D10">
        <v>1</v>
      </c>
      <c r="E10">
        <v>0.18262999999999999</v>
      </c>
      <c r="F10">
        <v>0.73843000000000003</v>
      </c>
      <c r="G10">
        <v>1</v>
      </c>
      <c r="H10">
        <v>1</v>
      </c>
      <c r="I10">
        <v>0</v>
      </c>
    </row>
    <row r="11" spans="1:9" x14ac:dyDescent="0.2">
      <c r="A11" t="s">
        <v>18</v>
      </c>
      <c r="B11">
        <v>29</v>
      </c>
      <c r="C11">
        <v>0.22137000000000001</v>
      </c>
      <c r="D11">
        <v>1</v>
      </c>
      <c r="E11">
        <v>0.20169000000000001</v>
      </c>
      <c r="F11">
        <v>0.69530999999999998</v>
      </c>
      <c r="G11">
        <v>1</v>
      </c>
      <c r="H11">
        <v>1</v>
      </c>
      <c r="I11">
        <v>0.20888999999999999</v>
      </c>
    </row>
    <row r="12" spans="1:9" x14ac:dyDescent="0.2">
      <c r="A12" t="s">
        <v>35</v>
      </c>
      <c r="B12">
        <v>32</v>
      </c>
      <c r="C12">
        <v>0.24426999999999999</v>
      </c>
      <c r="D12">
        <v>1</v>
      </c>
      <c r="E12">
        <v>0.22036</v>
      </c>
      <c r="F12">
        <v>0.65686</v>
      </c>
      <c r="G12">
        <v>1</v>
      </c>
      <c r="H12">
        <v>1</v>
      </c>
      <c r="I12">
        <v>0.10718</v>
      </c>
    </row>
    <row r="13" spans="1:9" x14ac:dyDescent="0.2">
      <c r="A13" t="s">
        <v>46</v>
      </c>
      <c r="B13">
        <v>33</v>
      </c>
      <c r="C13">
        <v>0.25191000000000002</v>
      </c>
      <c r="D13">
        <v>1</v>
      </c>
      <c r="E13">
        <v>0.22650000000000001</v>
      </c>
      <c r="F13">
        <v>0.64493</v>
      </c>
      <c r="G13">
        <v>1</v>
      </c>
      <c r="H13">
        <v>1</v>
      </c>
      <c r="I13">
        <v>0.14534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10C4-BA2C-624F-8140-BFFDCC10C870}">
  <dimension ref="A1:I11"/>
  <sheetViews>
    <sheetView workbookViewId="0">
      <selection activeCell="O21" sqref="O21"/>
    </sheetView>
  </sheetViews>
  <sheetFormatPr baseColWidth="10" defaultRowHeight="16" x14ac:dyDescent="0.2"/>
  <sheetData>
    <row r="1" spans="1:9" x14ac:dyDescent="0.2">
      <c r="B1" t="s">
        <v>5</v>
      </c>
      <c r="C1" t="s">
        <v>6</v>
      </c>
      <c r="D1" t="s">
        <v>7</v>
      </c>
      <c r="E1" t="s">
        <v>8</v>
      </c>
      <c r="F1" t="e">
        <f>-LOG10(p)</f>
        <v>#NAME?</v>
      </c>
      <c r="G1" t="s">
        <v>9</v>
      </c>
      <c r="H1" t="s">
        <v>10</v>
      </c>
      <c r="I1" t="s">
        <v>11</v>
      </c>
    </row>
    <row r="2" spans="1:9" x14ac:dyDescent="0.2">
      <c r="A2" t="s">
        <v>15</v>
      </c>
      <c r="B2">
        <v>26</v>
      </c>
      <c r="C2">
        <v>0.14885000000000001</v>
      </c>
      <c r="D2">
        <v>2</v>
      </c>
      <c r="E2">
        <v>8.3554000000000007E-3</v>
      </c>
      <c r="F2">
        <v>2.0779999999999998</v>
      </c>
      <c r="G2">
        <v>0.64337</v>
      </c>
      <c r="H2">
        <v>0.39876</v>
      </c>
      <c r="I2">
        <v>1.7239999999999998E-2</v>
      </c>
    </row>
    <row r="3" spans="1:9" x14ac:dyDescent="0.2">
      <c r="A3" t="s">
        <v>18</v>
      </c>
      <c r="B3">
        <v>29</v>
      </c>
      <c r="C3">
        <v>0.16603000000000001</v>
      </c>
      <c r="D3">
        <v>2</v>
      </c>
      <c r="E3">
        <v>1.0357E-2</v>
      </c>
      <c r="F3">
        <v>1.9846999999999999</v>
      </c>
      <c r="G3">
        <v>0.78717000000000004</v>
      </c>
      <c r="H3">
        <v>0.39876</v>
      </c>
      <c r="I3">
        <v>0.17333000000000001</v>
      </c>
    </row>
    <row r="4" spans="1:9" x14ac:dyDescent="0.2">
      <c r="A4" t="s">
        <v>47</v>
      </c>
      <c r="B4">
        <v>4</v>
      </c>
      <c r="C4">
        <v>2.2901000000000001E-2</v>
      </c>
      <c r="D4">
        <v>1</v>
      </c>
      <c r="E4">
        <v>2.2737E-2</v>
      </c>
      <c r="F4">
        <v>1.6433</v>
      </c>
      <c r="G4">
        <v>1</v>
      </c>
      <c r="H4">
        <v>0.58359000000000005</v>
      </c>
      <c r="I4">
        <v>0.5</v>
      </c>
    </row>
    <row r="5" spans="1:9" x14ac:dyDescent="0.2">
      <c r="A5" t="s">
        <v>21</v>
      </c>
      <c r="B5">
        <v>7</v>
      </c>
      <c r="C5">
        <v>4.0076000000000001E-2</v>
      </c>
      <c r="D5">
        <v>1</v>
      </c>
      <c r="E5">
        <v>3.9505999999999999E-2</v>
      </c>
      <c r="F5">
        <v>1.4033</v>
      </c>
      <c r="G5">
        <v>1</v>
      </c>
      <c r="H5">
        <v>0.60838999999999999</v>
      </c>
      <c r="I5">
        <v>0.37930999999999998</v>
      </c>
    </row>
    <row r="6" spans="1:9" x14ac:dyDescent="0.2">
      <c r="A6" t="s">
        <v>48</v>
      </c>
      <c r="B6">
        <v>7</v>
      </c>
      <c r="C6">
        <v>4.0076000000000001E-2</v>
      </c>
      <c r="D6">
        <v>1</v>
      </c>
      <c r="E6">
        <v>3.9505999999999999E-2</v>
      </c>
      <c r="F6">
        <v>1.4033</v>
      </c>
      <c r="G6">
        <v>1</v>
      </c>
      <c r="H6">
        <v>0.60838999999999999</v>
      </c>
      <c r="I6">
        <v>0.4</v>
      </c>
    </row>
    <row r="7" spans="1:9" x14ac:dyDescent="0.2">
      <c r="A7" t="s">
        <v>49</v>
      </c>
      <c r="B7">
        <v>14</v>
      </c>
      <c r="C7">
        <v>8.0153000000000002E-2</v>
      </c>
      <c r="D7">
        <v>1</v>
      </c>
      <c r="E7">
        <v>7.7701999999999993E-2</v>
      </c>
      <c r="F7">
        <v>1.1095999999999999</v>
      </c>
      <c r="G7">
        <v>1</v>
      </c>
      <c r="H7">
        <v>0.90166999999999997</v>
      </c>
      <c r="I7">
        <v>9.3030000000000002E-2</v>
      </c>
    </row>
    <row r="8" spans="1:9" x14ac:dyDescent="0.2">
      <c r="A8" t="s">
        <v>50</v>
      </c>
      <c r="B8">
        <v>15</v>
      </c>
      <c r="C8">
        <v>8.5877999999999996E-2</v>
      </c>
      <c r="D8">
        <v>1</v>
      </c>
      <c r="E8">
        <v>8.3054000000000003E-2</v>
      </c>
      <c r="F8">
        <v>1.0806</v>
      </c>
      <c r="G8">
        <v>1</v>
      </c>
      <c r="H8">
        <v>0.90166999999999997</v>
      </c>
      <c r="I8">
        <v>0.18667</v>
      </c>
    </row>
    <row r="9" spans="1:9" x14ac:dyDescent="0.2">
      <c r="A9" t="s">
        <v>43</v>
      </c>
      <c r="B9">
        <v>17</v>
      </c>
      <c r="C9">
        <v>9.7327999999999998E-2</v>
      </c>
      <c r="D9">
        <v>1</v>
      </c>
      <c r="E9">
        <v>9.3679999999999999E-2</v>
      </c>
      <c r="F9">
        <v>1.0284</v>
      </c>
      <c r="G9">
        <v>1</v>
      </c>
      <c r="H9">
        <v>0.90166999999999997</v>
      </c>
      <c r="I9">
        <v>0</v>
      </c>
    </row>
    <row r="10" spans="1:9" x14ac:dyDescent="0.2">
      <c r="A10" t="s">
        <v>51</v>
      </c>
      <c r="B10">
        <v>26</v>
      </c>
      <c r="C10">
        <v>0.14885000000000001</v>
      </c>
      <c r="D10">
        <v>1</v>
      </c>
      <c r="E10">
        <v>0.14024</v>
      </c>
      <c r="F10">
        <v>0.85314000000000001</v>
      </c>
      <c r="G10">
        <v>1</v>
      </c>
      <c r="H10">
        <v>1</v>
      </c>
      <c r="I10">
        <v>0</v>
      </c>
    </row>
    <row r="11" spans="1:9" x14ac:dyDescent="0.2">
      <c r="A11" t="s">
        <v>36</v>
      </c>
      <c r="B11">
        <v>39</v>
      </c>
      <c r="C11">
        <v>0.22328000000000001</v>
      </c>
      <c r="D11">
        <v>1</v>
      </c>
      <c r="E11">
        <v>0.20394999999999999</v>
      </c>
      <c r="F11">
        <v>0.69047000000000003</v>
      </c>
      <c r="G11">
        <v>1</v>
      </c>
      <c r="H11">
        <v>1</v>
      </c>
      <c r="I11">
        <v>8.6919999999999997E-2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table-of-contents</vt:lpstr>
      <vt:lpstr>13v30-day22_metaboanalyst-resul</vt:lpstr>
      <vt:lpstr>13v5-day22_metaboanalyst-result</vt:lpstr>
      <vt:lpstr>5-day4v22_metaboanalyst-results</vt:lpstr>
      <vt:lpstr>30v5-day4_metaboanalyst-results</vt:lpstr>
      <vt:lpstr>unique-30v5-day22_metaboanalyst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Yaamini Venkataraman</dc:creator>
  <cp:lastModifiedBy>Yaamini Venkataraman</cp:lastModifiedBy>
  <dcterms:created xsi:type="dcterms:W3CDTF">2026-01-28T16:49:15Z</dcterms:created>
  <dcterms:modified xsi:type="dcterms:W3CDTF">2026-01-28T18:45:11Z</dcterms:modified>
</cp:coreProperties>
</file>